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cee10fc2780eb200/Desktop/Projects/Excel (Attendance^J Check in-out)/"/>
    </mc:Choice>
  </mc:AlternateContent>
  <xr:revisionPtr revIDLastSave="3" documentId="13_ncr:1_{E99CD733-00F6-437A-97D8-64386E54E516}" xr6:coauthVersionLast="47" xr6:coauthVersionMax="47" xr10:uidLastSave="{C66CD0DF-2FA2-4C8B-90A9-990D7E5F5BFE}"/>
  <bookViews>
    <workbookView xWindow="-120" yWindow="-120" windowWidth="29040" windowHeight="15840" xr2:uid="{CAF00F95-F151-4A7A-914A-E7DF4483F24C}"/>
  </bookViews>
  <sheets>
    <sheet name="HOME" sheetId="1" r:id="rId1"/>
    <sheet name="Attendance" sheetId="3" r:id="rId2"/>
    <sheet name="Check in,out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4" l="1"/>
  <c r="N2" i="4"/>
  <c r="AF2" i="4"/>
  <c r="C6" i="1"/>
  <c r="AF2" i="3"/>
  <c r="C5" i="1" s="1"/>
  <c r="H2" i="3"/>
  <c r="N2" i="3" l="1"/>
  <c r="D4" i="3"/>
  <c r="E4" i="3" l="1"/>
  <c r="D5" i="3"/>
  <c r="F4" i="3" l="1"/>
  <c r="E5" i="3"/>
  <c r="G4" i="3" l="1"/>
  <c r="F5" i="3"/>
  <c r="H4" i="3" l="1"/>
  <c r="G5" i="3"/>
  <c r="I4" i="3" l="1"/>
  <c r="H5" i="3"/>
  <c r="J4" i="3" l="1"/>
  <c r="I5" i="3"/>
  <c r="K4" i="3" l="1"/>
  <c r="J5" i="3"/>
  <c r="L4" i="3" l="1"/>
  <c r="K5" i="3"/>
  <c r="M4" i="3" l="1"/>
  <c r="L5" i="3"/>
  <c r="N4" i="3" l="1"/>
  <c r="M5" i="3"/>
  <c r="O4" i="3" l="1"/>
  <c r="N5" i="3"/>
  <c r="P4" i="3" l="1"/>
  <c r="O5" i="3"/>
  <c r="Q4" i="3" l="1"/>
  <c r="P5" i="3"/>
  <c r="R4" i="3" l="1"/>
  <c r="Q5" i="3"/>
  <c r="S4" i="3" l="1"/>
  <c r="R5" i="3"/>
  <c r="T4" i="3" l="1"/>
  <c r="S5" i="3"/>
  <c r="U4" i="3" l="1"/>
  <c r="T5" i="3"/>
  <c r="V4" i="3" l="1"/>
  <c r="U5" i="3"/>
  <c r="W4" i="3" l="1"/>
  <c r="V5" i="3"/>
  <c r="X4" i="3" l="1"/>
  <c r="W5" i="3"/>
  <c r="Y4" i="3" l="1"/>
  <c r="X5" i="3"/>
  <c r="Z4" i="3" l="1"/>
  <c r="Y5" i="3"/>
  <c r="AA4" i="3" l="1"/>
  <c r="Z5" i="3"/>
  <c r="AB4" i="3" l="1"/>
  <c r="AA5" i="3"/>
  <c r="AC4" i="3" l="1"/>
  <c r="AB5" i="3"/>
  <c r="AD4" i="3" l="1"/>
  <c r="AC5" i="3"/>
  <c r="AE4" i="3" l="1"/>
  <c r="AD5" i="3"/>
  <c r="AF4" i="3" l="1"/>
  <c r="AE5" i="3"/>
  <c r="AG4" i="3" l="1"/>
  <c r="AF5" i="3"/>
  <c r="AH4" i="3" l="1"/>
  <c r="AH5" i="3" s="1"/>
  <c r="AG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Ram</author>
  </authors>
  <commentList>
    <comment ref="C4" authorId="0" shapeId="0" xr:uid="{546CCB99-FDD4-417F-9E28-FDFE9DC036D6}">
      <text>
        <r>
          <rPr>
            <b/>
            <sz val="9"/>
            <color indexed="81"/>
            <rFont val="Tahoma"/>
            <family val="2"/>
          </rPr>
          <t>Enter Your Student Id.</t>
        </r>
      </text>
    </comment>
    <comment ref="J4" authorId="0" shapeId="0" xr:uid="{A14DA124-265D-4817-A74A-B674FACC0537}">
      <text>
        <r>
          <rPr>
            <sz val="9"/>
            <color indexed="81"/>
            <rFont val="Tahoma"/>
            <family val="2"/>
          </rPr>
          <t>Click here to see attendance.</t>
        </r>
      </text>
    </comment>
    <comment ref="J5" authorId="0" shapeId="0" xr:uid="{7C293263-83C6-4C9C-98AE-E2D11A0330E1}">
      <text>
        <r>
          <rPr>
            <sz val="9"/>
            <color indexed="81"/>
            <rFont val="Tahoma"/>
            <family val="2"/>
          </rPr>
          <t>Click here to see Check in, out details.</t>
        </r>
      </text>
    </comment>
  </commentList>
</comments>
</file>

<file path=xl/sharedStrings.xml><?xml version="1.0" encoding="utf-8"?>
<sst xmlns="http://schemas.openxmlformats.org/spreadsheetml/2006/main" count="276" uniqueCount="119">
  <si>
    <t>Month</t>
  </si>
  <si>
    <t>Std. Id</t>
  </si>
  <si>
    <t>Std. Name</t>
  </si>
  <si>
    <t>Date</t>
  </si>
  <si>
    <t>Rohan Sharma</t>
  </si>
  <si>
    <t>Kunal Verma</t>
  </si>
  <si>
    <t>Sneha Reddy</t>
  </si>
  <si>
    <t>Arnav Dutta</t>
  </si>
  <si>
    <t>Priya Menon</t>
  </si>
  <si>
    <t>Aditya Iyer</t>
  </si>
  <si>
    <t>Kavya Sharma</t>
  </si>
  <si>
    <t>Nikhil Bansal</t>
  </si>
  <si>
    <t>Manav Kapoor</t>
  </si>
  <si>
    <t>Simran Kaur</t>
  </si>
  <si>
    <t>Tushar Jain</t>
  </si>
  <si>
    <t>Vihaan Chatterjee</t>
  </si>
  <si>
    <t>Ishaan Gupta</t>
  </si>
  <si>
    <t>Tanya Verma</t>
  </si>
  <si>
    <t>Krish Patel</t>
  </si>
  <si>
    <t>Aanya Deshmukh</t>
  </si>
  <si>
    <t>Raghav Bhatia</t>
  </si>
  <si>
    <t>Yash Chauhan</t>
  </si>
  <si>
    <t>Aditi Bansal</t>
  </si>
  <si>
    <t>Omkar Kulkarni</t>
  </si>
  <si>
    <t>Parth Mahajan</t>
  </si>
  <si>
    <t>Trisha Das</t>
  </si>
  <si>
    <t>Devansh Bhatt</t>
  </si>
  <si>
    <t>Neha Chauhan</t>
  </si>
  <si>
    <t>Rajat Malhotra</t>
  </si>
  <si>
    <t>Harsh Vardhan</t>
  </si>
  <si>
    <t>Pooja Iyer</t>
  </si>
  <si>
    <t>Aniket Rao</t>
  </si>
  <si>
    <t>Samar Tripathi</t>
  </si>
  <si>
    <t>Siddharth Reddy</t>
  </si>
  <si>
    <t>Meera Joshi</t>
  </si>
  <si>
    <t>Abhinav Sinha</t>
  </si>
  <si>
    <t>Sanika Kulkarni</t>
  </si>
  <si>
    <t>Arjun Joshi</t>
  </si>
  <si>
    <t>Ishita Shah</t>
  </si>
  <si>
    <t>Neel Sengupta</t>
  </si>
  <si>
    <t>Riya Kapoor</t>
  </si>
  <si>
    <t>Karthik Ramaswamy</t>
  </si>
  <si>
    <t>Shaurya Dubey</t>
  </si>
  <si>
    <t>Dhruv Khanna</t>
  </si>
  <si>
    <t>Diya Bhattacharya</t>
  </si>
  <si>
    <t>Varun Nair</t>
  </si>
  <si>
    <t>Aarav Mehta</t>
  </si>
  <si>
    <t>Sanya Mehta</t>
  </si>
  <si>
    <t>Tanmay Saxena</t>
  </si>
  <si>
    <t>Kriti Agarwal</t>
  </si>
  <si>
    <t>Pranav Desai</t>
  </si>
  <si>
    <t>Nandini Rao</t>
  </si>
  <si>
    <t>Rehan Qureshi</t>
  </si>
  <si>
    <t>F</t>
  </si>
  <si>
    <t>M</t>
  </si>
  <si>
    <t>C001</t>
  </si>
  <si>
    <t>C002</t>
  </si>
  <si>
    <t>C003</t>
  </si>
  <si>
    <t>C004</t>
  </si>
  <si>
    <t>C005</t>
  </si>
  <si>
    <t>C006</t>
  </si>
  <si>
    <t>C007</t>
  </si>
  <si>
    <t>C008</t>
  </si>
  <si>
    <t>C009</t>
  </si>
  <si>
    <t>C010</t>
  </si>
  <si>
    <t>C011</t>
  </si>
  <si>
    <t>C012</t>
  </si>
  <si>
    <t>C013</t>
  </si>
  <si>
    <t>C014</t>
  </si>
  <si>
    <t>C015</t>
  </si>
  <si>
    <t>C016</t>
  </si>
  <si>
    <t>C017</t>
  </si>
  <si>
    <t>C018</t>
  </si>
  <si>
    <t>C019</t>
  </si>
  <si>
    <t>C020</t>
  </si>
  <si>
    <t>C021</t>
  </si>
  <si>
    <t>C022</t>
  </si>
  <si>
    <t>C023</t>
  </si>
  <si>
    <t>C024</t>
  </si>
  <si>
    <t>C025</t>
  </si>
  <si>
    <t>C026</t>
  </si>
  <si>
    <t>C027</t>
  </si>
  <si>
    <t>C028</t>
  </si>
  <si>
    <t>C029</t>
  </si>
  <si>
    <t>C030</t>
  </si>
  <si>
    <t>C031</t>
  </si>
  <si>
    <t>C032</t>
  </si>
  <si>
    <t>C033</t>
  </si>
  <si>
    <t>C034</t>
  </si>
  <si>
    <t>C035</t>
  </si>
  <si>
    <t>C036</t>
  </si>
  <si>
    <t>C037</t>
  </si>
  <si>
    <t>C038</t>
  </si>
  <si>
    <t>C039</t>
  </si>
  <si>
    <t>C040</t>
  </si>
  <si>
    <t>C041</t>
  </si>
  <si>
    <t>C042</t>
  </si>
  <si>
    <t>C043</t>
  </si>
  <si>
    <t>C044</t>
  </si>
  <si>
    <t>C045</t>
  </si>
  <si>
    <t>C046</t>
  </si>
  <si>
    <t>C047</t>
  </si>
  <si>
    <t>C048</t>
  </si>
  <si>
    <t>C049</t>
  </si>
  <si>
    <t>C050</t>
  </si>
  <si>
    <t>Enter Your Details</t>
  </si>
  <si>
    <t>to</t>
  </si>
  <si>
    <t>TECHDIGITS INSTITUTE</t>
  </si>
  <si>
    <t>Check in time</t>
  </si>
  <si>
    <t>Check out time</t>
  </si>
  <si>
    <t>Time</t>
  </si>
  <si>
    <t>Aarav Kumar</t>
  </si>
  <si>
    <t>Aug</t>
  </si>
  <si>
    <t>Check in,out</t>
  </si>
  <si>
    <t xml:space="preserve">Attendance </t>
  </si>
  <si>
    <t>Total</t>
  </si>
  <si>
    <t>S.no</t>
  </si>
  <si>
    <t>Name</t>
  </si>
  <si>
    <t>Gender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</si>
</sst>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yyyy"/>
    <numFmt numFmtId="165" formatCode="[$-409]mmmm\ ;"/>
    <numFmt numFmtId="166" formatCode="dd"/>
    <numFmt numFmtId="167" formatCode="dd\-mmm\-yyyy"/>
    <numFmt numFmtId="168" formatCode="[$-409]mmmm"/>
    <numFmt numFmtId="169" formatCode="hh:mm:ss\ AM/PM"/>
  </numFmts>
  <fonts count="15" x14ac:knownFonts="1">
    <font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theme="1"/>
      <name val="Berlin Sans FB"/>
      <family val="2"/>
    </font>
    <font>
      <sz val="48"/>
      <color rgb="FF0070C0"/>
      <name val="Arial Rounded MT Bold"/>
      <family val="2"/>
    </font>
    <font>
      <sz val="36"/>
      <color theme="4" tint="-0.499984740745262"/>
      <name val="Arial Rounded MT Bold"/>
      <family val="2"/>
    </font>
    <font>
      <sz val="36"/>
      <color rgb="FF0070C0"/>
      <name val="Arial Rounded MT Bold"/>
      <family val="2"/>
    </font>
    <font>
      <sz val="11"/>
      <color theme="1"/>
      <name val="Calibri"/>
      <family val="2"/>
      <scheme val="minor"/>
    </font>
    <font>
      <b/>
      <sz val="13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sz val="13"/>
      <color theme="1"/>
      <name val="Bahnschrift SemiBold"/>
      <family val="2"/>
    </font>
    <font>
      <sz val="16"/>
      <color theme="4" tint="-0.499984740745262"/>
      <name val="Arial Rounded MT Bold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A7D00"/>
      <name val="Calibri"/>
      <family val="2"/>
      <scheme val="minor"/>
    </font>
    <font>
      <b/>
      <sz val="12"/>
      <color rgb="FFFA7D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6" fillId="4" borderId="0" applyNumberFormat="0" applyBorder="0" applyAlignment="0" applyProtection="0"/>
    <xf numFmtId="0" fontId="13" fillId="7" borderId="8" applyNumberFormat="0" applyAlignment="0" applyProtection="0"/>
  </cellStyleXfs>
  <cellXfs count="41">
    <xf numFmtId="0" fontId="0" fillId="0" borderId="0" xfId="0"/>
    <xf numFmtId="0" fontId="1" fillId="2" borderId="0" xfId="0" applyFont="1" applyFill="1" applyAlignment="1">
      <alignment vertical="top"/>
    </xf>
    <xf numFmtId="0" fontId="0" fillId="2" borderId="0" xfId="0" applyFill="1"/>
    <xf numFmtId="0" fontId="4" fillId="2" borderId="0" xfId="0" applyFont="1" applyFill="1"/>
    <xf numFmtId="0" fontId="5" fillId="0" borderId="0" xfId="0" applyFont="1"/>
    <xf numFmtId="0" fontId="7" fillId="3" borderId="7" xfId="0" applyFont="1" applyFill="1" applyBorder="1" applyAlignment="1">
      <alignment horizontal="center" vertical="center"/>
    </xf>
    <xf numFmtId="166" fontId="7" fillId="3" borderId="7" xfId="0" applyNumberFormat="1" applyFont="1" applyFill="1" applyBorder="1" applyAlignment="1">
      <alignment horizontal="center" vertical="center"/>
    </xf>
    <xf numFmtId="0" fontId="8" fillId="6" borderId="7" xfId="0" applyFont="1" applyFill="1" applyBorder="1"/>
    <xf numFmtId="0" fontId="8" fillId="6" borderId="7" xfId="0" applyFont="1" applyFill="1" applyBorder="1" applyAlignment="1">
      <alignment horizontal="center" vertical="center" textRotation="90"/>
    </xf>
    <xf numFmtId="0" fontId="8" fillId="4" borderId="7" xfId="1" applyFont="1" applyBorder="1"/>
    <xf numFmtId="0" fontId="7" fillId="3" borderId="3" xfId="0" applyFont="1" applyFill="1" applyBorder="1" applyAlignment="1">
      <alignment horizontal="center" vertical="center"/>
    </xf>
    <xf numFmtId="165" fontId="8" fillId="5" borderId="4" xfId="0" applyNumberFormat="1" applyFont="1" applyFill="1" applyBorder="1" applyAlignment="1">
      <alignment horizontal="center" vertical="center"/>
    </xf>
    <xf numFmtId="0" fontId="9" fillId="0" borderId="0" xfId="0" applyFont="1"/>
    <xf numFmtId="0" fontId="8" fillId="0" borderId="0" xfId="0" applyFont="1"/>
    <xf numFmtId="164" fontId="8" fillId="6" borderId="7" xfId="0" applyNumberFormat="1" applyFont="1" applyFill="1" applyBorder="1" applyAlignment="1">
      <alignment horizontal="left"/>
    </xf>
    <xf numFmtId="168" fontId="8" fillId="6" borderId="7" xfId="0" applyNumberFormat="1" applyFont="1" applyFill="1" applyBorder="1" applyAlignment="1">
      <alignment horizontal="center" vertical="center"/>
    </xf>
    <xf numFmtId="0" fontId="8" fillId="4" borderId="7" xfId="1" applyFont="1" applyBorder="1" applyAlignment="1">
      <alignment horizontal="center" vertical="center"/>
    </xf>
    <xf numFmtId="14" fontId="0" fillId="0" borderId="0" xfId="0" applyNumberFormat="1"/>
    <xf numFmtId="19" fontId="0" fillId="0" borderId="0" xfId="0" applyNumberFormat="1"/>
    <xf numFmtId="19" fontId="8" fillId="4" borderId="7" xfId="1" applyNumberFormat="1" applyFont="1" applyBorder="1" applyAlignment="1">
      <alignment horizontal="center" vertical="center"/>
    </xf>
    <xf numFmtId="15" fontId="8" fillId="4" borderId="7" xfId="1" applyNumberFormat="1" applyFont="1" applyBorder="1" applyAlignment="1">
      <alignment horizontal="center" vertical="center"/>
    </xf>
    <xf numFmtId="169" fontId="2" fillId="2" borderId="2" xfId="0" applyNumberFormat="1" applyFont="1" applyFill="1" applyBorder="1" applyAlignment="1">
      <alignment horizontal="center"/>
    </xf>
    <xf numFmtId="14" fontId="2" fillId="2" borderId="2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10" fillId="2" borderId="0" xfId="0" applyFont="1" applyFill="1" applyAlignment="1">
      <alignment horizontal="center" vertical="center"/>
    </xf>
    <xf numFmtId="0" fontId="5" fillId="0" borderId="0" xfId="0" applyFont="1" applyAlignment="1">
      <alignment horizontal="center"/>
    </xf>
    <xf numFmtId="167" fontId="8" fillId="5" borderId="5" xfId="0" applyNumberFormat="1" applyFont="1" applyFill="1" applyBorder="1" applyAlignment="1">
      <alignment horizontal="center" vertical="center"/>
    </xf>
    <xf numFmtId="167" fontId="8" fillId="5" borderId="6" xfId="0" applyNumberFormat="1" applyFont="1" applyFill="1" applyBorder="1" applyAlignment="1">
      <alignment horizontal="center" vertical="center"/>
    </xf>
    <xf numFmtId="167" fontId="8" fillId="5" borderId="3" xfId="0" applyNumberFormat="1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164" fontId="8" fillId="5" borderId="5" xfId="0" applyNumberFormat="1" applyFont="1" applyFill="1" applyBorder="1" applyAlignment="1">
      <alignment horizontal="center" vertical="center"/>
    </xf>
    <xf numFmtId="164" fontId="8" fillId="5" borderId="6" xfId="0" applyNumberFormat="1" applyFont="1" applyFill="1" applyBorder="1" applyAlignment="1">
      <alignment horizontal="center" vertical="center"/>
    </xf>
    <xf numFmtId="164" fontId="8" fillId="5" borderId="3" xfId="0" applyNumberFormat="1" applyFont="1" applyFill="1" applyBorder="1" applyAlignment="1">
      <alignment horizontal="center" vertical="center"/>
    </xf>
    <xf numFmtId="0" fontId="8" fillId="6" borderId="7" xfId="0" applyFont="1" applyFill="1" applyBorder="1" applyAlignment="1">
      <alignment horizontal="center" vertical="center"/>
    </xf>
    <xf numFmtId="0" fontId="13" fillId="7" borderId="8" xfId="2" applyAlignment="1">
      <alignment horizontal="center" vertical="center"/>
    </xf>
    <xf numFmtId="0" fontId="14" fillId="7" borderId="8" xfId="2" applyFont="1" applyAlignment="1">
      <alignment horizontal="center" vertical="center"/>
    </xf>
    <xf numFmtId="164" fontId="8" fillId="6" borderId="7" xfId="0" applyNumberFormat="1" applyFont="1" applyFill="1" applyBorder="1" applyAlignment="1">
      <alignment horizontal="left" vertical="center"/>
    </xf>
  </cellXfs>
  <cellStyles count="3">
    <cellStyle name="60% - Accent5" xfId="1" builtinId="48"/>
    <cellStyle name="Calculation" xfId="2" builtinId="22"/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strike val="0"/>
        <color theme="0"/>
      </font>
      <fill>
        <patternFill>
          <bgColor theme="4"/>
        </patternFill>
      </fill>
    </dxf>
    <dxf>
      <font>
        <b val="0"/>
        <i/>
        <color theme="0"/>
      </font>
      <fill>
        <patternFill patternType="solid">
          <bgColor rgb="FF00B853"/>
        </patternFill>
      </fill>
    </dxf>
    <dxf>
      <font>
        <b/>
        <i val="0"/>
        <strike val="0"/>
        <color theme="0"/>
      </font>
      <fill>
        <patternFill>
          <bgColor theme="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strike val="0"/>
        <color theme="0"/>
      </font>
      <fill>
        <patternFill>
          <bgColor theme="4"/>
        </patternFill>
      </fill>
    </dxf>
  </dxfs>
  <tableStyles count="0" defaultTableStyle="TableStyleMedium2" defaultPivotStyle="PivotStyleLight16"/>
  <colors>
    <mruColors>
      <color rgb="FF00B853"/>
      <color rgb="FF01FF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Attendance!A1"/><Relationship Id="rId1" Type="http://schemas.openxmlformats.org/officeDocument/2006/relationships/hyperlink" Target="#'Check in,out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874565</xdr:colOff>
      <xdr:row>0</xdr:row>
      <xdr:rowOff>723900</xdr:rowOff>
    </xdr:from>
    <xdr:to>
      <xdr:col>7</xdr:col>
      <xdr:colOff>432951</xdr:colOff>
      <xdr:row>0</xdr:row>
      <xdr:rowOff>723900</xdr:rowOff>
    </xdr:to>
    <xdr:cxnSp macro="">
      <xdr:nvCxnSpPr>
        <xdr:cNvPr id="3" name="Straight Connector 2" descr="Attendance Sheet">
          <a:extLst>
            <a:ext uri="{FF2B5EF4-FFF2-40B4-BE49-F238E27FC236}">
              <a16:creationId xmlns:a16="http://schemas.microsoft.com/office/drawing/2014/main" id="{BD6AA1C4-5A0F-4DB2-BAAE-20D426E5979E}"/>
            </a:ext>
          </a:extLst>
        </xdr:cNvPr>
        <xdr:cNvCxnSpPr/>
      </xdr:nvCxnSpPr>
      <xdr:spPr>
        <a:xfrm>
          <a:off x="3247156" y="723900"/>
          <a:ext cx="7161068" cy="0"/>
        </a:xfrm>
        <a:prstGeom prst="line">
          <a:avLst/>
        </a:prstGeom>
        <a:ln w="28575">
          <a:solidFill>
            <a:srgbClr val="002060"/>
          </a:solidFill>
          <a:prstDash val="lg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380998</xdr:colOff>
      <xdr:row>4</xdr:row>
      <xdr:rowOff>249014</xdr:rowOff>
    </xdr:from>
    <xdr:to>
      <xdr:col>11</xdr:col>
      <xdr:colOff>558511</xdr:colOff>
      <xdr:row>4</xdr:row>
      <xdr:rowOff>407424</xdr:rowOff>
    </xdr:to>
    <xdr:sp macro="" textlink="">
      <xdr:nvSpPr>
        <xdr:cNvPr id="16" name="Arrow: Chevron 15" descr="arrow">
          <a:hlinkClick xmlns:r="http://schemas.openxmlformats.org/officeDocument/2006/relationships" r:id="rId1" tooltip="Select to navigate to Class List worksheet"/>
          <a:extLst>
            <a:ext uri="{FF2B5EF4-FFF2-40B4-BE49-F238E27FC236}">
              <a16:creationId xmlns:a16="http://schemas.microsoft.com/office/drawing/2014/main" id="{43147A57-55B9-A3E3-1A0B-C250661701D9}"/>
            </a:ext>
          </a:extLst>
        </xdr:cNvPr>
        <xdr:cNvSpPr/>
      </xdr:nvSpPr>
      <xdr:spPr>
        <a:xfrm>
          <a:off x="12838041" y="2062905"/>
          <a:ext cx="177513" cy="158410"/>
        </a:xfrm>
        <a:prstGeom prst="chevron">
          <a:avLst/>
        </a:prstGeom>
        <a:solidFill>
          <a:schemeClr val="accent5"/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11</xdr:col>
      <xdr:colOff>285748</xdr:colOff>
      <xdr:row>3</xdr:row>
      <xdr:rowOff>250637</xdr:rowOff>
    </xdr:from>
    <xdr:to>
      <xdr:col>11</xdr:col>
      <xdr:colOff>463261</xdr:colOff>
      <xdr:row>3</xdr:row>
      <xdr:rowOff>409047</xdr:rowOff>
    </xdr:to>
    <xdr:sp macro="" textlink="">
      <xdr:nvSpPr>
        <xdr:cNvPr id="17" name="Arrow: Chevron 16" descr="Attendance Sheet">
          <a:hlinkClick xmlns:r="http://schemas.openxmlformats.org/officeDocument/2006/relationships" r:id="rId2" tooltip="Select to navigate to Class List worksheet"/>
          <a:extLst>
            <a:ext uri="{FF2B5EF4-FFF2-40B4-BE49-F238E27FC236}">
              <a16:creationId xmlns:a16="http://schemas.microsoft.com/office/drawing/2014/main" id="{BF7C78EF-E7CA-8C22-7327-A3BED509ED9C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SpPr/>
      </xdr:nvSpPr>
      <xdr:spPr>
        <a:xfrm>
          <a:off x="12742791" y="1443333"/>
          <a:ext cx="177513" cy="158410"/>
        </a:xfrm>
        <a:prstGeom prst="chevron">
          <a:avLst/>
        </a:prstGeom>
        <a:solidFill>
          <a:schemeClr val="accent5"/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2059883</xdr:colOff>
      <xdr:row>9</xdr:row>
      <xdr:rowOff>31427</xdr:rowOff>
    </xdr:from>
    <xdr:to>
      <xdr:col>2</xdr:col>
      <xdr:colOff>2374208</xdr:colOff>
      <xdr:row>12</xdr:row>
      <xdr:rowOff>31427</xdr:rowOff>
    </xdr:to>
    <xdr:sp macro="[0]!final.Final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19B4C54-F134-7167-A985-B1BFC2AAEFB9}"/>
            </a:ext>
          </a:extLst>
        </xdr:cNvPr>
        <xdr:cNvSpPr/>
      </xdr:nvSpPr>
      <xdr:spPr>
        <a:xfrm>
          <a:off x="4428709" y="4089905"/>
          <a:ext cx="2790825" cy="571500"/>
        </a:xfrm>
        <a:prstGeom prst="roundRect">
          <a:avLst>
            <a:gd name="adj" fmla="val 50000"/>
          </a:avLst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atin typeface="Arial Rounded MT Bold" panose="020F0704030504030204" pitchFamily="34" charset="0"/>
            </a:rPr>
            <a:t>SUBMIT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>
        <a:ln w="28575">
          <a:solidFill>
            <a:srgbClr val="002060"/>
          </a:solidFill>
          <a:prstDash val="lgDash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327CEE5-4115-42D2-832C-FF625BFF2F48}">
  <we:reference id="wa200006007" version="1.2.3.0" store="en-US" storeType="OMEX"/>
  <we:alternateReferences>
    <we:reference id="WA200006007" version="1.2.3.0" store="WA200006007" storeType="OMEX"/>
  </we:alternateReferences>
  <we:properties>
    <we:property name="document_UID" value="&quot;ef26154b-cb2b-4bc3-ae25-4075080e6518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443B6-CD96-46B0-9452-E19A3AA8F8EC}">
  <sheetPr codeName="Sheet1">
    <tabColor rgb="FFFF0000"/>
  </sheetPr>
  <dimension ref="A1:AH7"/>
  <sheetViews>
    <sheetView tabSelected="1" zoomScale="115" zoomScaleNormal="115" workbookViewId="0">
      <selection activeCell="C17" sqref="C17"/>
    </sheetView>
  </sheetViews>
  <sheetFormatPr defaultRowHeight="15" x14ac:dyDescent="0.25"/>
  <cols>
    <col min="1" max="1" width="35.5703125" style="2" customWidth="1"/>
    <col min="2" max="2" width="37.140625" style="2" customWidth="1"/>
    <col min="3" max="3" width="40.5703125" style="2" customWidth="1"/>
    <col min="4" max="9" width="9.140625" style="2"/>
    <col min="10" max="10" width="9.140625" style="2" customWidth="1"/>
    <col min="11" max="16384" width="9.140625" style="2"/>
  </cols>
  <sheetData>
    <row r="1" spans="1:34" ht="59.25" x14ac:dyDescent="0.25">
      <c r="A1" s="25" t="s">
        <v>107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</row>
    <row r="2" spans="1:34" ht="19.5" x14ac:dyDescent="0.25">
      <c r="A2" s="26" t="s">
        <v>105</v>
      </c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</row>
    <row r="4" spans="1:34" ht="48.75" customHeight="1" x14ac:dyDescent="0.55000000000000004">
      <c r="B4" s="3" t="s">
        <v>1</v>
      </c>
      <c r="C4" s="23"/>
      <c r="D4" s="23"/>
      <c r="E4" s="23"/>
      <c r="F4" s="23"/>
      <c r="J4" s="27" t="s">
        <v>114</v>
      </c>
      <c r="K4" s="27"/>
      <c r="L4" s="27"/>
    </row>
    <row r="5" spans="1:34" ht="48.75" customHeight="1" x14ac:dyDescent="0.55000000000000004">
      <c r="B5" s="3" t="s">
        <v>2</v>
      </c>
      <c r="C5" s="24" t="str">
        <f>IFERROR(VLOOKUP(C4,Attendance!A4:AH55,2,0), " ''Enter Std. Id'' ")</f>
        <v xml:space="preserve"> ''Enter Std. Id'' </v>
      </c>
      <c r="D5" s="24"/>
      <c r="E5" s="24"/>
      <c r="F5" s="24"/>
      <c r="J5" s="27" t="s">
        <v>113</v>
      </c>
      <c r="K5" s="27"/>
      <c r="L5" s="27"/>
    </row>
    <row r="6" spans="1:34" ht="48.75" customHeight="1" x14ac:dyDescent="0.55000000000000004">
      <c r="B6" s="3" t="s">
        <v>3</v>
      </c>
      <c r="C6" s="22">
        <f ca="1">TODAY()</f>
        <v>45884</v>
      </c>
      <c r="D6" s="22"/>
      <c r="E6" s="22"/>
      <c r="F6" s="22"/>
    </row>
    <row r="7" spans="1:34" ht="48.75" customHeight="1" x14ac:dyDescent="0.55000000000000004">
      <c r="B7" s="3" t="s">
        <v>110</v>
      </c>
      <c r="C7" s="21">
        <v>0.76884259259259258</v>
      </c>
      <c r="D7" s="21"/>
      <c r="E7" s="21"/>
      <c r="F7" s="21"/>
    </row>
  </sheetData>
  <sheetProtection formatCells="0" formatColumns="0" formatRows="0" insertColumns="0" insertRows="0" insertHyperlinks="0" deleteColumns="0" deleteRows="0" selectLockedCells="1" sort="0" selectUnlockedCells="1"/>
  <mergeCells count="8">
    <mergeCell ref="C7:F7"/>
    <mergeCell ref="C6:F6"/>
    <mergeCell ref="C4:F4"/>
    <mergeCell ref="C5:F5"/>
    <mergeCell ref="A1:M1"/>
    <mergeCell ref="A2:M2"/>
    <mergeCell ref="J4:L4"/>
    <mergeCell ref="J5:L5"/>
  </mergeCells>
  <hyperlinks>
    <hyperlink ref="J4:L4" location="Attendance!A1" display="Attendance " xr:uid="{D258FC23-A224-44B0-A826-B3D06AF58C63}"/>
    <hyperlink ref="J5:L5" location="'Check in,out'!A1" display="Check in,out" xr:uid="{220AEA41-6FA6-45BF-AC18-8EE1B4346EB7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0399F-97D9-4010-AFDA-FBD1EB972304}">
  <sheetPr codeName="Sheet2">
    <tabColor rgb="FF92D050"/>
  </sheetPr>
  <dimension ref="A1:AI55"/>
  <sheetViews>
    <sheetView topLeftCell="A4" zoomScale="110" zoomScaleNormal="110" workbookViewId="0">
      <selection activeCell="AI6" sqref="AI6"/>
    </sheetView>
  </sheetViews>
  <sheetFormatPr defaultColWidth="9.7109375" defaultRowHeight="15" x14ac:dyDescent="0.25"/>
  <cols>
    <col min="1" max="1" width="10.42578125" customWidth="1"/>
    <col min="2" max="2" width="23.85546875" bestFit="1" customWidth="1"/>
    <col min="3" max="3" width="13" customWidth="1"/>
    <col min="4" max="34" width="4.7109375" customWidth="1"/>
  </cols>
  <sheetData>
    <row r="1" spans="1:35" ht="44.25" x14ac:dyDescent="0.55000000000000004">
      <c r="A1" s="28" t="s">
        <v>107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4"/>
    </row>
    <row r="2" spans="1:35" s="13" customFormat="1" ht="17.25" x14ac:dyDescent="0.3">
      <c r="A2" s="10" t="s">
        <v>0</v>
      </c>
      <c r="B2" s="11" t="s">
        <v>112</v>
      </c>
      <c r="C2" s="12"/>
      <c r="D2" s="12"/>
      <c r="E2" s="12"/>
      <c r="F2" s="12"/>
      <c r="G2" s="12"/>
      <c r="H2" s="29">
        <f>DATEVALUE("1"&amp;B2&amp;"2025")</f>
        <v>45870</v>
      </c>
      <c r="I2" s="30"/>
      <c r="J2" s="30"/>
      <c r="K2" s="31"/>
      <c r="L2" s="32" t="s">
        <v>106</v>
      </c>
      <c r="M2" s="33"/>
      <c r="N2" s="29">
        <f>EOMONTH(H2,0)</f>
        <v>45900</v>
      </c>
      <c r="O2" s="30"/>
      <c r="P2" s="30"/>
      <c r="Q2" s="31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34">
        <f ca="1">TODAY()</f>
        <v>45884</v>
      </c>
      <c r="AG2" s="35"/>
      <c r="AH2" s="36"/>
    </row>
    <row r="4" spans="1:35" ht="17.25" x14ac:dyDescent="0.25">
      <c r="A4" s="5"/>
      <c r="B4" s="5"/>
      <c r="C4" s="5" t="s">
        <v>3</v>
      </c>
      <c r="D4" s="6">
        <f>H2</f>
        <v>45870</v>
      </c>
      <c r="E4" s="6">
        <f>IF(D4&lt;$N$2,D4+1,"")</f>
        <v>45871</v>
      </c>
      <c r="F4" s="6">
        <f>IF(E4&lt;$N$2,E4+1,"")</f>
        <v>45872</v>
      </c>
      <c r="G4" s="6">
        <f t="shared" ref="G4:X4" si="0">IF(F4&lt;$N$2,F4+1,"")</f>
        <v>45873</v>
      </c>
      <c r="H4" s="6">
        <f t="shared" si="0"/>
        <v>45874</v>
      </c>
      <c r="I4" s="6">
        <f t="shared" si="0"/>
        <v>45875</v>
      </c>
      <c r="J4" s="6">
        <f t="shared" si="0"/>
        <v>45876</v>
      </c>
      <c r="K4" s="6">
        <f t="shared" si="0"/>
        <v>45877</v>
      </c>
      <c r="L4" s="6">
        <f t="shared" si="0"/>
        <v>45878</v>
      </c>
      <c r="M4" s="6">
        <f t="shared" si="0"/>
        <v>45879</v>
      </c>
      <c r="N4" s="6">
        <f t="shared" si="0"/>
        <v>45880</v>
      </c>
      <c r="O4" s="6">
        <f t="shared" si="0"/>
        <v>45881</v>
      </c>
      <c r="P4" s="6">
        <f t="shared" si="0"/>
        <v>45882</v>
      </c>
      <c r="Q4" s="6">
        <f t="shared" si="0"/>
        <v>45883</v>
      </c>
      <c r="R4" s="6">
        <f t="shared" si="0"/>
        <v>45884</v>
      </c>
      <c r="S4" s="6">
        <f t="shared" si="0"/>
        <v>45885</v>
      </c>
      <c r="T4" s="6">
        <f t="shared" si="0"/>
        <v>45886</v>
      </c>
      <c r="U4" s="6">
        <f t="shared" si="0"/>
        <v>45887</v>
      </c>
      <c r="V4" s="6">
        <f t="shared" si="0"/>
        <v>45888</v>
      </c>
      <c r="W4" s="6">
        <f t="shared" si="0"/>
        <v>45889</v>
      </c>
      <c r="X4" s="6">
        <f t="shared" si="0"/>
        <v>45890</v>
      </c>
      <c r="Y4" s="6">
        <f>IF(X4&lt;$N$2,X4+1,"")</f>
        <v>45891</v>
      </c>
      <c r="Z4" s="6">
        <f>IF(Y4&lt;$N$2,Y4+1,"")</f>
        <v>45892</v>
      </c>
      <c r="AA4" s="6">
        <f t="shared" ref="AA4:AC4" si="1">IF(Z4&lt;$N$2,Z4+1,"")</f>
        <v>45893</v>
      </c>
      <c r="AB4" s="6">
        <f t="shared" si="1"/>
        <v>45894</v>
      </c>
      <c r="AC4" s="6">
        <f t="shared" si="1"/>
        <v>45895</v>
      </c>
      <c r="AD4" s="6">
        <f>IF(AC4&lt;$N$2,AC4+1,"")</f>
        <v>45896</v>
      </c>
      <c r="AE4" s="6">
        <f>IF(AD4&lt;$N$2,AD4+1,"")</f>
        <v>45897</v>
      </c>
      <c r="AF4" s="6">
        <f t="shared" ref="AF4:AH4" si="2">IF(AE4&lt;$N$2,AE4+1,"")</f>
        <v>45898</v>
      </c>
      <c r="AG4" s="6">
        <f t="shared" si="2"/>
        <v>45899</v>
      </c>
      <c r="AH4" s="6">
        <f t="shared" si="2"/>
        <v>45900</v>
      </c>
    </row>
    <row r="5" spans="1:35" ht="31.5" x14ac:dyDescent="0.25">
      <c r="A5" s="40" t="s">
        <v>116</v>
      </c>
      <c r="B5" s="15" t="s">
        <v>117</v>
      </c>
      <c r="C5" s="37" t="s">
        <v>118</v>
      </c>
      <c r="D5" s="8" t="str">
        <f>TEXT(D4,"ddd")</f>
        <v>Fri</v>
      </c>
      <c r="E5" s="8" t="str">
        <f t="shared" ref="E5:S5" si="3">TEXT(E4,"ddd")</f>
        <v>Sat</v>
      </c>
      <c r="F5" s="8" t="str">
        <f t="shared" si="3"/>
        <v>Sun</v>
      </c>
      <c r="G5" s="8" t="str">
        <f t="shared" si="3"/>
        <v>Mon</v>
      </c>
      <c r="H5" s="8" t="str">
        <f t="shared" si="3"/>
        <v>Tue</v>
      </c>
      <c r="I5" s="8" t="str">
        <f t="shared" si="3"/>
        <v>Wed</v>
      </c>
      <c r="J5" s="8" t="str">
        <f t="shared" si="3"/>
        <v>Thu</v>
      </c>
      <c r="K5" s="8" t="str">
        <f t="shared" si="3"/>
        <v>Fri</v>
      </c>
      <c r="L5" s="8" t="str">
        <f t="shared" si="3"/>
        <v>Sat</v>
      </c>
      <c r="M5" s="8" t="str">
        <f t="shared" si="3"/>
        <v>Sun</v>
      </c>
      <c r="N5" s="8" t="str">
        <f t="shared" si="3"/>
        <v>Mon</v>
      </c>
      <c r="O5" s="8" t="str">
        <f t="shared" si="3"/>
        <v>Tue</v>
      </c>
      <c r="P5" s="8" t="str">
        <f t="shared" si="3"/>
        <v>Wed</v>
      </c>
      <c r="Q5" s="8" t="str">
        <f t="shared" si="3"/>
        <v>Thu</v>
      </c>
      <c r="R5" s="8" t="str">
        <f t="shared" si="3"/>
        <v>Fri</v>
      </c>
      <c r="S5" s="8" t="str">
        <f t="shared" si="3"/>
        <v>Sat</v>
      </c>
      <c r="T5" s="8" t="str">
        <f>TEXT(T4,"ddd")</f>
        <v>Sun</v>
      </c>
      <c r="U5" s="8" t="str">
        <f t="shared" ref="U5" si="4">TEXT(U4,"ddd")</f>
        <v>Mon</v>
      </c>
      <c r="V5" s="8" t="str">
        <f t="shared" ref="V5" si="5">TEXT(V4,"ddd")</f>
        <v>Tue</v>
      </c>
      <c r="W5" s="8" t="str">
        <f t="shared" ref="W5" si="6">TEXT(W4,"ddd")</f>
        <v>Wed</v>
      </c>
      <c r="X5" s="8" t="str">
        <f t="shared" ref="X5" si="7">TEXT(X4,"ddd")</f>
        <v>Thu</v>
      </c>
      <c r="Y5" s="8" t="str">
        <f t="shared" ref="Y5" si="8">TEXT(Y4,"ddd")</f>
        <v>Fri</v>
      </c>
      <c r="Z5" s="8" t="str">
        <f t="shared" ref="Z5" si="9">TEXT(Z4,"ddd")</f>
        <v>Sat</v>
      </c>
      <c r="AA5" s="8" t="str">
        <f t="shared" ref="AA5" si="10">TEXT(AA4,"ddd")</f>
        <v>Sun</v>
      </c>
      <c r="AB5" s="8" t="str">
        <f t="shared" ref="AB5" si="11">TEXT(AB4,"ddd")</f>
        <v>Mon</v>
      </c>
      <c r="AC5" s="8" t="str">
        <f t="shared" ref="AC5" si="12">TEXT(AC4,"ddd")</f>
        <v>Tue</v>
      </c>
      <c r="AD5" s="8" t="str">
        <f t="shared" ref="AD5" si="13">TEXT(AD4,"ddd")</f>
        <v>Wed</v>
      </c>
      <c r="AE5" s="8" t="str">
        <f t="shared" ref="AE5" si="14">TEXT(AE4,"ddd")</f>
        <v>Thu</v>
      </c>
      <c r="AF5" s="8" t="str">
        <f t="shared" ref="AF5" si="15">TEXT(AF4,"ddd")</f>
        <v>Fri</v>
      </c>
      <c r="AG5" s="8" t="str">
        <f t="shared" ref="AG5:AH5" si="16">TEXT(AG4,"ddd")</f>
        <v>Sat</v>
      </c>
      <c r="AH5" s="8" t="str">
        <f t="shared" si="16"/>
        <v>Sun</v>
      </c>
      <c r="AI5" s="39" t="s">
        <v>115</v>
      </c>
    </row>
    <row r="6" spans="1:35" ht="17.25" x14ac:dyDescent="0.3">
      <c r="A6" s="9" t="s">
        <v>55</v>
      </c>
      <c r="B6" s="9" t="s">
        <v>111</v>
      </c>
      <c r="C6" s="16" t="s">
        <v>53</v>
      </c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38"/>
    </row>
    <row r="7" spans="1:35" ht="17.25" x14ac:dyDescent="0.3">
      <c r="A7" s="9" t="s">
        <v>56</v>
      </c>
      <c r="B7" s="9" t="s">
        <v>4</v>
      </c>
      <c r="C7" s="16" t="s">
        <v>54</v>
      </c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38"/>
    </row>
    <row r="8" spans="1:35" ht="17.25" x14ac:dyDescent="0.3">
      <c r="A8" s="9" t="s">
        <v>57</v>
      </c>
      <c r="B8" s="9" t="s">
        <v>5</v>
      </c>
      <c r="C8" s="16" t="s">
        <v>54</v>
      </c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38"/>
    </row>
    <row r="9" spans="1:35" ht="17.25" x14ac:dyDescent="0.3">
      <c r="A9" s="9" t="s">
        <v>58</v>
      </c>
      <c r="B9" s="9" t="s">
        <v>6</v>
      </c>
      <c r="C9" s="16" t="s">
        <v>53</v>
      </c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38"/>
    </row>
    <row r="10" spans="1:35" ht="17.25" x14ac:dyDescent="0.3">
      <c r="A10" s="9" t="s">
        <v>59</v>
      </c>
      <c r="B10" s="9" t="s">
        <v>7</v>
      </c>
      <c r="C10" s="16" t="s">
        <v>54</v>
      </c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38"/>
    </row>
    <row r="11" spans="1:35" ht="17.25" x14ac:dyDescent="0.3">
      <c r="A11" s="9" t="s">
        <v>60</v>
      </c>
      <c r="B11" s="9" t="s">
        <v>8</v>
      </c>
      <c r="C11" s="16" t="s">
        <v>53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38"/>
    </row>
    <row r="12" spans="1:35" ht="17.25" x14ac:dyDescent="0.3">
      <c r="A12" s="9" t="s">
        <v>61</v>
      </c>
      <c r="B12" s="9" t="s">
        <v>9</v>
      </c>
      <c r="C12" s="16" t="s">
        <v>54</v>
      </c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38"/>
    </row>
    <row r="13" spans="1:35" ht="17.25" x14ac:dyDescent="0.3">
      <c r="A13" s="9" t="s">
        <v>62</v>
      </c>
      <c r="B13" s="9" t="s">
        <v>10</v>
      </c>
      <c r="C13" s="16" t="s">
        <v>53</v>
      </c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38"/>
    </row>
    <row r="14" spans="1:35" ht="17.25" x14ac:dyDescent="0.3">
      <c r="A14" s="9" t="s">
        <v>63</v>
      </c>
      <c r="B14" s="9" t="s">
        <v>11</v>
      </c>
      <c r="C14" s="16" t="s">
        <v>54</v>
      </c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38"/>
    </row>
    <row r="15" spans="1:35" ht="17.25" x14ac:dyDescent="0.3">
      <c r="A15" s="9" t="s">
        <v>64</v>
      </c>
      <c r="B15" s="9" t="s">
        <v>12</v>
      </c>
      <c r="C15" s="16" t="s">
        <v>54</v>
      </c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38"/>
    </row>
    <row r="16" spans="1:35" ht="17.25" x14ac:dyDescent="0.3">
      <c r="A16" s="9" t="s">
        <v>65</v>
      </c>
      <c r="B16" s="9" t="s">
        <v>13</v>
      </c>
      <c r="C16" s="16" t="s">
        <v>53</v>
      </c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38"/>
    </row>
    <row r="17" spans="1:35" ht="17.25" x14ac:dyDescent="0.3">
      <c r="A17" s="9" t="s">
        <v>66</v>
      </c>
      <c r="B17" s="9" t="s">
        <v>14</v>
      </c>
      <c r="C17" s="16" t="s">
        <v>54</v>
      </c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38"/>
    </row>
    <row r="18" spans="1:35" ht="17.25" x14ac:dyDescent="0.3">
      <c r="A18" s="9" t="s">
        <v>67</v>
      </c>
      <c r="B18" s="9" t="s">
        <v>15</v>
      </c>
      <c r="C18" s="16" t="s">
        <v>54</v>
      </c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38"/>
    </row>
    <row r="19" spans="1:35" ht="17.25" x14ac:dyDescent="0.3">
      <c r="A19" s="9" t="s">
        <v>68</v>
      </c>
      <c r="B19" s="9" t="s">
        <v>16</v>
      </c>
      <c r="C19" s="16" t="s">
        <v>54</v>
      </c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38"/>
    </row>
    <row r="20" spans="1:35" ht="17.25" x14ac:dyDescent="0.3">
      <c r="A20" s="9" t="s">
        <v>69</v>
      </c>
      <c r="B20" s="9" t="s">
        <v>17</v>
      </c>
      <c r="C20" s="16" t="s">
        <v>53</v>
      </c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38"/>
    </row>
    <row r="21" spans="1:35" ht="17.25" x14ac:dyDescent="0.3">
      <c r="A21" s="9" t="s">
        <v>70</v>
      </c>
      <c r="B21" s="9" t="s">
        <v>18</v>
      </c>
      <c r="C21" s="16" t="s">
        <v>54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38"/>
    </row>
    <row r="22" spans="1:35" ht="17.25" x14ac:dyDescent="0.3">
      <c r="A22" s="9" t="s">
        <v>71</v>
      </c>
      <c r="B22" s="9" t="s">
        <v>19</v>
      </c>
      <c r="C22" s="16" t="s">
        <v>53</v>
      </c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38"/>
    </row>
    <row r="23" spans="1:35" ht="17.25" x14ac:dyDescent="0.3">
      <c r="A23" s="9" t="s">
        <v>72</v>
      </c>
      <c r="B23" s="9" t="s">
        <v>20</v>
      </c>
      <c r="C23" s="16" t="s">
        <v>54</v>
      </c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38"/>
    </row>
    <row r="24" spans="1:35" ht="17.25" x14ac:dyDescent="0.3">
      <c r="A24" s="9" t="s">
        <v>73</v>
      </c>
      <c r="B24" s="9" t="s">
        <v>21</v>
      </c>
      <c r="C24" s="16" t="s">
        <v>54</v>
      </c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38"/>
    </row>
    <row r="25" spans="1:35" ht="17.25" x14ac:dyDescent="0.3">
      <c r="A25" s="9" t="s">
        <v>74</v>
      </c>
      <c r="B25" s="9" t="s">
        <v>22</v>
      </c>
      <c r="C25" s="16" t="s">
        <v>53</v>
      </c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38"/>
    </row>
    <row r="26" spans="1:35" ht="17.25" x14ac:dyDescent="0.3">
      <c r="A26" s="9" t="s">
        <v>75</v>
      </c>
      <c r="B26" s="9" t="s">
        <v>23</v>
      </c>
      <c r="C26" s="16" t="s">
        <v>54</v>
      </c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38"/>
    </row>
    <row r="27" spans="1:35" ht="17.25" x14ac:dyDescent="0.3">
      <c r="A27" s="9" t="s">
        <v>76</v>
      </c>
      <c r="B27" s="9" t="s">
        <v>24</v>
      </c>
      <c r="C27" s="16" t="s">
        <v>54</v>
      </c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38"/>
    </row>
    <row r="28" spans="1:35" ht="17.25" x14ac:dyDescent="0.3">
      <c r="A28" s="9" t="s">
        <v>77</v>
      </c>
      <c r="B28" s="9" t="s">
        <v>25</v>
      </c>
      <c r="C28" s="16" t="s">
        <v>53</v>
      </c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38"/>
    </row>
    <row r="29" spans="1:35" ht="17.25" x14ac:dyDescent="0.3">
      <c r="A29" s="9" t="s">
        <v>78</v>
      </c>
      <c r="B29" s="9" t="s">
        <v>26</v>
      </c>
      <c r="C29" s="16" t="s">
        <v>54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38"/>
    </row>
    <row r="30" spans="1:35" ht="17.25" x14ac:dyDescent="0.3">
      <c r="A30" s="9" t="s">
        <v>79</v>
      </c>
      <c r="B30" s="9" t="s">
        <v>27</v>
      </c>
      <c r="C30" s="16" t="s">
        <v>53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38"/>
    </row>
    <row r="31" spans="1:35" ht="17.25" x14ac:dyDescent="0.3">
      <c r="A31" s="9" t="s">
        <v>80</v>
      </c>
      <c r="B31" s="9" t="s">
        <v>28</v>
      </c>
      <c r="C31" s="16" t="s">
        <v>54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38"/>
    </row>
    <row r="32" spans="1:35" ht="17.25" x14ac:dyDescent="0.3">
      <c r="A32" s="9" t="s">
        <v>81</v>
      </c>
      <c r="B32" s="9" t="s">
        <v>29</v>
      </c>
      <c r="C32" s="16" t="s">
        <v>54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38"/>
    </row>
    <row r="33" spans="1:35" ht="17.25" x14ac:dyDescent="0.3">
      <c r="A33" s="9" t="s">
        <v>82</v>
      </c>
      <c r="B33" s="9" t="s">
        <v>30</v>
      </c>
      <c r="C33" s="16" t="s">
        <v>53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38"/>
    </row>
    <row r="34" spans="1:35" ht="17.25" x14ac:dyDescent="0.3">
      <c r="A34" s="9" t="s">
        <v>83</v>
      </c>
      <c r="B34" s="9" t="s">
        <v>31</v>
      </c>
      <c r="C34" s="16" t="s">
        <v>54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38"/>
    </row>
    <row r="35" spans="1:35" ht="17.25" x14ac:dyDescent="0.3">
      <c r="A35" s="9" t="s">
        <v>84</v>
      </c>
      <c r="B35" s="9" t="s">
        <v>32</v>
      </c>
      <c r="C35" s="16" t="s">
        <v>54</v>
      </c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38"/>
    </row>
    <row r="36" spans="1:35" ht="17.25" x14ac:dyDescent="0.3">
      <c r="A36" s="9" t="s">
        <v>85</v>
      </c>
      <c r="B36" s="9" t="s">
        <v>33</v>
      </c>
      <c r="C36" s="16" t="s">
        <v>54</v>
      </c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38"/>
    </row>
    <row r="37" spans="1:35" ht="17.25" x14ac:dyDescent="0.3">
      <c r="A37" s="9" t="s">
        <v>86</v>
      </c>
      <c r="B37" s="9" t="s">
        <v>34</v>
      </c>
      <c r="C37" s="16" t="s">
        <v>53</v>
      </c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38"/>
    </row>
    <row r="38" spans="1:35" ht="17.25" x14ac:dyDescent="0.3">
      <c r="A38" s="9" t="s">
        <v>87</v>
      </c>
      <c r="B38" s="9" t="s">
        <v>35</v>
      </c>
      <c r="C38" s="16" t="s">
        <v>54</v>
      </c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38"/>
    </row>
    <row r="39" spans="1:35" ht="17.25" x14ac:dyDescent="0.3">
      <c r="A39" s="9" t="s">
        <v>88</v>
      </c>
      <c r="B39" s="9" t="s">
        <v>36</v>
      </c>
      <c r="C39" s="16" t="s">
        <v>53</v>
      </c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38"/>
    </row>
    <row r="40" spans="1:35" ht="17.25" x14ac:dyDescent="0.3">
      <c r="A40" s="9" t="s">
        <v>89</v>
      </c>
      <c r="B40" s="9" t="s">
        <v>37</v>
      </c>
      <c r="C40" s="16" t="s">
        <v>54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38"/>
    </row>
    <row r="41" spans="1:35" ht="17.25" x14ac:dyDescent="0.3">
      <c r="A41" s="9" t="s">
        <v>90</v>
      </c>
      <c r="B41" s="9" t="s">
        <v>38</v>
      </c>
      <c r="C41" s="16" t="s">
        <v>53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38"/>
    </row>
    <row r="42" spans="1:35" ht="17.25" x14ac:dyDescent="0.3">
      <c r="A42" s="9" t="s">
        <v>91</v>
      </c>
      <c r="B42" s="9" t="s">
        <v>39</v>
      </c>
      <c r="C42" s="16" t="s">
        <v>54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38"/>
    </row>
    <row r="43" spans="1:35" ht="17.25" x14ac:dyDescent="0.3">
      <c r="A43" s="9" t="s">
        <v>92</v>
      </c>
      <c r="B43" s="9" t="s">
        <v>40</v>
      </c>
      <c r="C43" s="16" t="s">
        <v>53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38"/>
    </row>
    <row r="44" spans="1:35" ht="17.25" x14ac:dyDescent="0.3">
      <c r="A44" s="9" t="s">
        <v>93</v>
      </c>
      <c r="B44" s="9" t="s">
        <v>41</v>
      </c>
      <c r="C44" s="16" t="s">
        <v>54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38"/>
    </row>
    <row r="45" spans="1:35" ht="17.25" x14ac:dyDescent="0.3">
      <c r="A45" s="9" t="s">
        <v>94</v>
      </c>
      <c r="B45" s="9" t="s">
        <v>42</v>
      </c>
      <c r="C45" s="16" t="s">
        <v>54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38"/>
    </row>
    <row r="46" spans="1:35" ht="17.25" x14ac:dyDescent="0.3">
      <c r="A46" s="9" t="s">
        <v>95</v>
      </c>
      <c r="B46" s="9" t="s">
        <v>43</v>
      </c>
      <c r="C46" s="16" t="s">
        <v>54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38"/>
    </row>
    <row r="47" spans="1:35" ht="17.25" x14ac:dyDescent="0.3">
      <c r="A47" s="9" t="s">
        <v>96</v>
      </c>
      <c r="B47" s="9" t="s">
        <v>44</v>
      </c>
      <c r="C47" s="16" t="s">
        <v>53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38"/>
    </row>
    <row r="48" spans="1:35" ht="17.25" x14ac:dyDescent="0.3">
      <c r="A48" s="9" t="s">
        <v>97</v>
      </c>
      <c r="B48" s="9" t="s">
        <v>45</v>
      </c>
      <c r="C48" s="16" t="s">
        <v>54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38"/>
    </row>
    <row r="49" spans="1:35" ht="17.25" x14ac:dyDescent="0.3">
      <c r="A49" s="9" t="s">
        <v>98</v>
      </c>
      <c r="B49" s="9" t="s">
        <v>46</v>
      </c>
      <c r="C49" s="16" t="s">
        <v>54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38"/>
    </row>
    <row r="50" spans="1:35" ht="17.25" x14ac:dyDescent="0.3">
      <c r="A50" s="9" t="s">
        <v>99</v>
      </c>
      <c r="B50" s="9" t="s">
        <v>47</v>
      </c>
      <c r="C50" s="16" t="s">
        <v>53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38"/>
    </row>
    <row r="51" spans="1:35" ht="17.25" x14ac:dyDescent="0.3">
      <c r="A51" s="9" t="s">
        <v>100</v>
      </c>
      <c r="B51" s="9" t="s">
        <v>48</v>
      </c>
      <c r="C51" s="16" t="s">
        <v>54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38"/>
    </row>
    <row r="52" spans="1:35" ht="17.25" x14ac:dyDescent="0.3">
      <c r="A52" s="9" t="s">
        <v>101</v>
      </c>
      <c r="B52" s="9" t="s">
        <v>49</v>
      </c>
      <c r="C52" s="16" t="s">
        <v>53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38"/>
    </row>
    <row r="53" spans="1:35" ht="17.25" x14ac:dyDescent="0.3">
      <c r="A53" s="9" t="s">
        <v>102</v>
      </c>
      <c r="B53" s="9" t="s">
        <v>50</v>
      </c>
      <c r="C53" s="16" t="s">
        <v>54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38"/>
    </row>
    <row r="54" spans="1:35" ht="17.25" x14ac:dyDescent="0.3">
      <c r="A54" s="9" t="s">
        <v>103</v>
      </c>
      <c r="B54" s="9" t="s">
        <v>51</v>
      </c>
      <c r="C54" s="16" t="s">
        <v>53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38"/>
    </row>
    <row r="55" spans="1:35" ht="17.25" x14ac:dyDescent="0.3">
      <c r="A55" s="9" t="s">
        <v>104</v>
      </c>
      <c r="B55" s="9" t="s">
        <v>52</v>
      </c>
      <c r="C55" s="16" t="s">
        <v>54</v>
      </c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38"/>
    </row>
  </sheetData>
  <mergeCells count="5">
    <mergeCell ref="A1:AH1"/>
    <mergeCell ref="H2:K2"/>
    <mergeCell ref="L2:M2"/>
    <mergeCell ref="N2:Q2"/>
    <mergeCell ref="AF2:AH2"/>
  </mergeCells>
  <conditionalFormatting sqref="D6:AH55">
    <cfRule type="expression" dxfId="7" priority="6">
      <formula>D$5="Sun"</formula>
    </cfRule>
  </conditionalFormatting>
  <conditionalFormatting sqref="D6:AH1048576">
    <cfRule type="cellIs" dxfId="6" priority="5" operator="equal">
      <formula>"P"</formula>
    </cfRule>
    <cfRule type="cellIs" dxfId="5" priority="4" operator="equal">
      <formula>"A"</formula>
    </cfRule>
  </conditionalFormatting>
  <conditionalFormatting sqref="AI6:AI55">
    <cfRule type="expression" dxfId="2" priority="3">
      <formula>AI$5="Sun"</formula>
    </cfRule>
  </conditionalFormatting>
  <conditionalFormatting sqref="AI6:AI55">
    <cfRule type="cellIs" dxfId="0" priority="1" operator="equal">
      <formula>"A"</formula>
    </cfRule>
    <cfRule type="cellIs" dxfId="1" priority="2" operator="equal">
      <formula>"P"</formula>
    </cfRule>
  </conditionalFormatting>
  <dataValidations count="1">
    <dataValidation type="list" allowBlank="1" showInputMessage="1" showErrorMessage="1" sqref="B2" xr:uid="{5F831461-4C7E-45AD-ADBB-8BD1D38D58E3}">
      <formula1>"Jan, Feb, Mar, Apr, May, Jun, Jul, Aug, Sep, Oct, Nov, Dec"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ED0FD-7681-47F4-9EC3-C7990704B495}">
  <sheetPr codeName="Sheet3">
    <tabColor rgb="FF0070C0"/>
  </sheetPr>
  <dimension ref="A1:AI56"/>
  <sheetViews>
    <sheetView workbookViewId="0">
      <selection activeCell="L14" sqref="L14"/>
    </sheetView>
  </sheetViews>
  <sheetFormatPr defaultColWidth="9.7109375" defaultRowHeight="15" x14ac:dyDescent="0.25"/>
  <cols>
    <col min="1" max="1" width="10.42578125" customWidth="1"/>
    <col min="2" max="2" width="23.85546875" bestFit="1" customWidth="1"/>
    <col min="3" max="3" width="13" customWidth="1"/>
    <col min="4" max="4" width="22.42578125" customWidth="1"/>
    <col min="5" max="5" width="28" customWidth="1"/>
    <col min="6" max="34" width="4.7109375" customWidth="1"/>
  </cols>
  <sheetData>
    <row r="1" spans="1:35" ht="44.25" x14ac:dyDescent="0.55000000000000004">
      <c r="A1" s="28" t="s">
        <v>107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4"/>
    </row>
    <row r="2" spans="1:35" s="13" customFormat="1" ht="17.25" x14ac:dyDescent="0.3">
      <c r="A2" s="10" t="s">
        <v>0</v>
      </c>
      <c r="B2" s="11" t="s">
        <v>112</v>
      </c>
      <c r="C2" s="12"/>
      <c r="D2" s="12"/>
      <c r="E2" s="12"/>
      <c r="F2" s="12"/>
      <c r="G2" s="12"/>
      <c r="H2" s="29">
        <f>DATEVALUE("1"&amp;B2&amp;"2025")</f>
        <v>45870</v>
      </c>
      <c r="I2" s="30"/>
      <c r="J2" s="30"/>
      <c r="K2" s="31"/>
      <c r="L2" s="32" t="s">
        <v>106</v>
      </c>
      <c r="M2" s="33"/>
      <c r="N2" s="29">
        <f>EOMONTH(H2,0)</f>
        <v>45900</v>
      </c>
      <c r="O2" s="30"/>
      <c r="P2" s="30"/>
      <c r="Q2" s="31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34">
        <f ca="1">TODAY()</f>
        <v>45884</v>
      </c>
      <c r="AG2" s="35"/>
      <c r="AH2" s="36"/>
    </row>
    <row r="4" spans="1:35" ht="17.25" x14ac:dyDescent="0.25">
      <c r="A4" s="5"/>
      <c r="B4" s="5"/>
      <c r="C4" s="5" t="s">
        <v>3</v>
      </c>
      <c r="D4" s="6" t="s">
        <v>108</v>
      </c>
      <c r="E4" s="6" t="s">
        <v>109</v>
      </c>
    </row>
    <row r="5" spans="1:35" ht="17.25" x14ac:dyDescent="0.3">
      <c r="A5" s="14" t="s">
        <v>116</v>
      </c>
      <c r="B5" s="15" t="s">
        <v>117</v>
      </c>
      <c r="C5" s="7"/>
      <c r="D5" s="8"/>
      <c r="E5" s="8"/>
    </row>
    <row r="6" spans="1:35" ht="17.25" x14ac:dyDescent="0.3">
      <c r="A6" s="9" t="s">
        <v>55</v>
      </c>
      <c r="B6" s="9" t="s">
        <v>111</v>
      </c>
      <c r="C6" s="20"/>
      <c r="D6" s="19"/>
      <c r="E6" s="19"/>
    </row>
    <row r="7" spans="1:35" ht="17.25" x14ac:dyDescent="0.3">
      <c r="A7" s="9" t="s">
        <v>56</v>
      </c>
      <c r="B7" s="9" t="s">
        <v>4</v>
      </c>
      <c r="C7" s="20"/>
      <c r="D7" s="19"/>
      <c r="E7" s="19"/>
    </row>
    <row r="8" spans="1:35" ht="17.25" x14ac:dyDescent="0.3">
      <c r="A8" s="9" t="s">
        <v>57</v>
      </c>
      <c r="B8" s="9" t="s">
        <v>5</v>
      </c>
      <c r="C8" s="20"/>
      <c r="D8" s="19"/>
      <c r="E8" s="16"/>
    </row>
    <row r="9" spans="1:35" ht="17.25" x14ac:dyDescent="0.3">
      <c r="A9" s="9" t="s">
        <v>58</v>
      </c>
      <c r="B9" s="9" t="s">
        <v>6</v>
      </c>
      <c r="C9" s="20"/>
      <c r="D9" s="19"/>
      <c r="E9" s="19"/>
    </row>
    <row r="10" spans="1:35" ht="17.25" x14ac:dyDescent="0.3">
      <c r="A10" s="9" t="s">
        <v>59</v>
      </c>
      <c r="B10" s="9" t="s">
        <v>7</v>
      </c>
      <c r="C10" s="16"/>
      <c r="D10" s="16"/>
      <c r="E10" s="16"/>
    </row>
    <row r="11" spans="1:35" ht="17.25" x14ac:dyDescent="0.3">
      <c r="A11" s="9" t="s">
        <v>60</v>
      </c>
      <c r="B11" s="9" t="s">
        <v>8</v>
      </c>
      <c r="C11" s="16"/>
      <c r="D11" s="19"/>
      <c r="E11" s="19"/>
    </row>
    <row r="12" spans="1:35" ht="17.25" x14ac:dyDescent="0.3">
      <c r="A12" s="9" t="s">
        <v>61</v>
      </c>
      <c r="B12" s="9" t="s">
        <v>9</v>
      </c>
      <c r="C12" s="16"/>
      <c r="D12" s="19"/>
      <c r="E12" s="16"/>
    </row>
    <row r="13" spans="1:35" ht="17.25" x14ac:dyDescent="0.3">
      <c r="A13" s="9" t="s">
        <v>62</v>
      </c>
      <c r="B13" s="9" t="s">
        <v>10</v>
      </c>
      <c r="C13" s="20"/>
      <c r="D13" s="19"/>
      <c r="E13" s="19"/>
    </row>
    <row r="14" spans="1:35" ht="17.25" x14ac:dyDescent="0.3">
      <c r="A14" s="9" t="s">
        <v>63</v>
      </c>
      <c r="B14" s="9" t="s">
        <v>11</v>
      </c>
      <c r="C14" s="20"/>
      <c r="D14" s="19"/>
      <c r="E14" s="19"/>
    </row>
    <row r="15" spans="1:35" ht="17.25" x14ac:dyDescent="0.3">
      <c r="A15" s="9" t="s">
        <v>64</v>
      </c>
      <c r="B15" s="9" t="s">
        <v>12</v>
      </c>
      <c r="C15" s="16"/>
      <c r="D15" s="16"/>
      <c r="E15" s="16"/>
    </row>
    <row r="16" spans="1:35" ht="17.25" x14ac:dyDescent="0.3">
      <c r="A16" s="9" t="s">
        <v>65</v>
      </c>
      <c r="B16" s="9" t="s">
        <v>13</v>
      </c>
      <c r="C16" s="16"/>
      <c r="D16" s="16"/>
      <c r="E16" s="16"/>
    </row>
    <row r="17" spans="1:5" ht="17.25" x14ac:dyDescent="0.3">
      <c r="A17" s="9" t="s">
        <v>66</v>
      </c>
      <c r="B17" s="9" t="s">
        <v>14</v>
      </c>
      <c r="C17" s="16"/>
      <c r="D17" s="16"/>
      <c r="E17" s="16"/>
    </row>
    <row r="18" spans="1:5" ht="17.25" x14ac:dyDescent="0.3">
      <c r="A18" s="9" t="s">
        <v>67</v>
      </c>
      <c r="B18" s="9" t="s">
        <v>15</v>
      </c>
      <c r="C18" s="16"/>
      <c r="D18" s="16"/>
      <c r="E18" s="16"/>
    </row>
    <row r="19" spans="1:5" ht="17.25" x14ac:dyDescent="0.3">
      <c r="A19" s="9" t="s">
        <v>68</v>
      </c>
      <c r="B19" s="9" t="s">
        <v>16</v>
      </c>
      <c r="C19" s="16"/>
      <c r="D19" s="16"/>
      <c r="E19" s="16"/>
    </row>
    <row r="20" spans="1:5" ht="17.25" x14ac:dyDescent="0.3">
      <c r="A20" s="9" t="s">
        <v>69</v>
      </c>
      <c r="B20" s="9" t="s">
        <v>17</v>
      </c>
      <c r="C20" s="16"/>
      <c r="D20" s="16"/>
      <c r="E20" s="16"/>
    </row>
    <row r="21" spans="1:5" ht="17.25" x14ac:dyDescent="0.3">
      <c r="A21" s="9" t="s">
        <v>70</v>
      </c>
      <c r="B21" s="9" t="s">
        <v>18</v>
      </c>
      <c r="C21" s="16"/>
      <c r="D21" s="16"/>
      <c r="E21" s="16"/>
    </row>
    <row r="22" spans="1:5" ht="17.25" x14ac:dyDescent="0.3">
      <c r="A22" s="9" t="s">
        <v>71</v>
      </c>
      <c r="B22" s="9" t="s">
        <v>19</v>
      </c>
      <c r="C22" s="16"/>
      <c r="D22" s="16"/>
      <c r="E22" s="16"/>
    </row>
    <row r="23" spans="1:5" ht="17.25" x14ac:dyDescent="0.3">
      <c r="A23" s="9" t="s">
        <v>72</v>
      </c>
      <c r="B23" s="9" t="s">
        <v>20</v>
      </c>
      <c r="C23" s="16"/>
      <c r="D23" s="16"/>
      <c r="E23" s="16"/>
    </row>
    <row r="24" spans="1:5" ht="17.25" x14ac:dyDescent="0.3">
      <c r="A24" s="9" t="s">
        <v>73</v>
      </c>
      <c r="B24" s="9" t="s">
        <v>21</v>
      </c>
      <c r="C24" s="16"/>
      <c r="D24" s="16"/>
      <c r="E24" s="16"/>
    </row>
    <row r="25" spans="1:5" ht="17.25" x14ac:dyDescent="0.3">
      <c r="A25" s="9" t="s">
        <v>74</v>
      </c>
      <c r="B25" s="9" t="s">
        <v>22</v>
      </c>
      <c r="C25" s="16"/>
      <c r="D25" s="16"/>
      <c r="E25" s="16"/>
    </row>
    <row r="26" spans="1:5" ht="17.25" x14ac:dyDescent="0.3">
      <c r="A26" s="9" t="s">
        <v>75</v>
      </c>
      <c r="B26" s="9" t="s">
        <v>23</v>
      </c>
      <c r="C26" s="16"/>
      <c r="D26" s="16"/>
      <c r="E26" s="16"/>
    </row>
    <row r="27" spans="1:5" ht="17.25" x14ac:dyDescent="0.3">
      <c r="A27" s="9" t="s">
        <v>76</v>
      </c>
      <c r="B27" s="9" t="s">
        <v>24</v>
      </c>
      <c r="C27" s="16"/>
      <c r="D27" s="16"/>
      <c r="E27" s="16"/>
    </row>
    <row r="28" spans="1:5" ht="17.25" x14ac:dyDescent="0.3">
      <c r="A28" s="9" t="s">
        <v>77</v>
      </c>
      <c r="B28" s="9" t="s">
        <v>25</v>
      </c>
      <c r="C28" s="16"/>
      <c r="D28" s="16"/>
      <c r="E28" s="16"/>
    </row>
    <row r="29" spans="1:5" ht="17.25" x14ac:dyDescent="0.3">
      <c r="A29" s="9" t="s">
        <v>78</v>
      </c>
      <c r="B29" s="9" t="s">
        <v>26</v>
      </c>
      <c r="C29" s="16"/>
      <c r="D29" s="16"/>
      <c r="E29" s="16"/>
    </row>
    <row r="30" spans="1:5" ht="17.25" x14ac:dyDescent="0.3">
      <c r="A30" s="9" t="s">
        <v>79</v>
      </c>
      <c r="B30" s="9" t="s">
        <v>27</v>
      </c>
      <c r="C30" s="16"/>
      <c r="D30" s="16"/>
      <c r="E30" s="16"/>
    </row>
    <row r="31" spans="1:5" ht="17.25" x14ac:dyDescent="0.3">
      <c r="A31" s="9" t="s">
        <v>80</v>
      </c>
      <c r="B31" s="9" t="s">
        <v>28</v>
      </c>
      <c r="C31" s="16"/>
      <c r="D31" s="16"/>
      <c r="E31" s="16"/>
    </row>
    <row r="32" spans="1:5" ht="17.25" x14ac:dyDescent="0.3">
      <c r="A32" s="9" t="s">
        <v>81</v>
      </c>
      <c r="B32" s="9" t="s">
        <v>29</v>
      </c>
      <c r="C32" s="16"/>
      <c r="D32" s="16"/>
      <c r="E32" s="16"/>
    </row>
    <row r="33" spans="1:5" ht="17.25" x14ac:dyDescent="0.3">
      <c r="A33" s="9" t="s">
        <v>82</v>
      </c>
      <c r="B33" s="9" t="s">
        <v>30</v>
      </c>
      <c r="C33" s="16"/>
      <c r="D33" s="16"/>
      <c r="E33" s="16"/>
    </row>
    <row r="34" spans="1:5" ht="17.25" x14ac:dyDescent="0.3">
      <c r="A34" s="9" t="s">
        <v>83</v>
      </c>
      <c r="B34" s="9" t="s">
        <v>31</v>
      </c>
      <c r="C34" s="16"/>
      <c r="D34" s="16"/>
      <c r="E34" s="16"/>
    </row>
    <row r="35" spans="1:5" ht="17.25" x14ac:dyDescent="0.3">
      <c r="A35" s="9" t="s">
        <v>84</v>
      </c>
      <c r="B35" s="9" t="s">
        <v>32</v>
      </c>
      <c r="C35" s="16"/>
      <c r="D35" s="16"/>
      <c r="E35" s="16"/>
    </row>
    <row r="36" spans="1:5" ht="17.25" x14ac:dyDescent="0.3">
      <c r="A36" s="9" t="s">
        <v>85</v>
      </c>
      <c r="B36" s="9" t="s">
        <v>33</v>
      </c>
      <c r="C36" s="16"/>
      <c r="D36" s="16"/>
      <c r="E36" s="16"/>
    </row>
    <row r="37" spans="1:5" ht="17.25" x14ac:dyDescent="0.3">
      <c r="A37" s="9" t="s">
        <v>86</v>
      </c>
      <c r="B37" s="9" t="s">
        <v>34</v>
      </c>
      <c r="C37" s="16"/>
      <c r="D37" s="16"/>
      <c r="E37" s="16"/>
    </row>
    <row r="38" spans="1:5" ht="17.25" x14ac:dyDescent="0.3">
      <c r="A38" s="9" t="s">
        <v>87</v>
      </c>
      <c r="B38" s="9" t="s">
        <v>35</v>
      </c>
      <c r="C38" s="16"/>
      <c r="D38" s="16"/>
      <c r="E38" s="16"/>
    </row>
    <row r="39" spans="1:5" ht="17.25" x14ac:dyDescent="0.3">
      <c r="A39" s="9" t="s">
        <v>88</v>
      </c>
      <c r="B39" s="9" t="s">
        <v>36</v>
      </c>
      <c r="C39" s="16"/>
      <c r="D39" s="16"/>
      <c r="E39" s="16"/>
    </row>
    <row r="40" spans="1:5" ht="17.25" x14ac:dyDescent="0.3">
      <c r="A40" s="9" t="s">
        <v>89</v>
      </c>
      <c r="B40" s="9" t="s">
        <v>37</v>
      </c>
      <c r="C40" s="16"/>
      <c r="D40" s="16"/>
      <c r="E40" s="16"/>
    </row>
    <row r="41" spans="1:5" ht="17.25" x14ac:dyDescent="0.3">
      <c r="A41" s="9" t="s">
        <v>90</v>
      </c>
      <c r="B41" s="9" t="s">
        <v>38</v>
      </c>
      <c r="C41" s="16"/>
      <c r="D41" s="16"/>
      <c r="E41" s="16"/>
    </row>
    <row r="42" spans="1:5" ht="17.25" x14ac:dyDescent="0.3">
      <c r="A42" s="9" t="s">
        <v>91</v>
      </c>
      <c r="B42" s="9" t="s">
        <v>39</v>
      </c>
      <c r="C42" s="16"/>
      <c r="D42" s="16"/>
      <c r="E42" s="16"/>
    </row>
    <row r="43" spans="1:5" ht="17.25" x14ac:dyDescent="0.3">
      <c r="A43" s="9" t="s">
        <v>92</v>
      </c>
      <c r="B43" s="9" t="s">
        <v>40</v>
      </c>
      <c r="C43" s="16"/>
      <c r="D43" s="16"/>
      <c r="E43" s="16"/>
    </row>
    <row r="44" spans="1:5" ht="17.25" x14ac:dyDescent="0.3">
      <c r="A44" s="9" t="s">
        <v>93</v>
      </c>
      <c r="B44" s="9" t="s">
        <v>41</v>
      </c>
      <c r="C44" s="16"/>
      <c r="D44" s="16"/>
      <c r="E44" s="16"/>
    </row>
    <row r="45" spans="1:5" ht="17.25" x14ac:dyDescent="0.3">
      <c r="A45" s="9" t="s">
        <v>94</v>
      </c>
      <c r="B45" s="9" t="s">
        <v>42</v>
      </c>
      <c r="C45" s="16"/>
      <c r="D45" s="16"/>
      <c r="E45" s="16"/>
    </row>
    <row r="46" spans="1:5" ht="17.25" x14ac:dyDescent="0.3">
      <c r="A46" s="9" t="s">
        <v>95</v>
      </c>
      <c r="B46" s="9" t="s">
        <v>43</v>
      </c>
      <c r="C46" s="16"/>
      <c r="D46" s="16"/>
      <c r="E46" s="16"/>
    </row>
    <row r="47" spans="1:5" ht="17.25" x14ac:dyDescent="0.3">
      <c r="A47" s="9" t="s">
        <v>96</v>
      </c>
      <c r="B47" s="9" t="s">
        <v>44</v>
      </c>
      <c r="C47" s="16"/>
      <c r="D47" s="16"/>
      <c r="E47" s="16"/>
    </row>
    <row r="48" spans="1:5" ht="17.25" x14ac:dyDescent="0.3">
      <c r="A48" s="9" t="s">
        <v>97</v>
      </c>
      <c r="B48" s="9" t="s">
        <v>45</v>
      </c>
      <c r="C48" s="16"/>
      <c r="D48" s="16"/>
      <c r="E48" s="16"/>
    </row>
    <row r="49" spans="1:5" ht="17.25" x14ac:dyDescent="0.3">
      <c r="A49" s="9" t="s">
        <v>98</v>
      </c>
      <c r="B49" s="9" t="s">
        <v>46</v>
      </c>
      <c r="C49" s="16"/>
      <c r="D49" s="16"/>
      <c r="E49" s="16"/>
    </row>
    <row r="50" spans="1:5" ht="17.25" x14ac:dyDescent="0.3">
      <c r="A50" s="9" t="s">
        <v>99</v>
      </c>
      <c r="B50" s="9" t="s">
        <v>47</v>
      </c>
      <c r="C50" s="16"/>
      <c r="D50" s="16"/>
      <c r="E50" s="16"/>
    </row>
    <row r="51" spans="1:5" ht="17.25" x14ac:dyDescent="0.3">
      <c r="A51" s="9" t="s">
        <v>100</v>
      </c>
      <c r="B51" s="9" t="s">
        <v>48</v>
      </c>
      <c r="C51" s="16"/>
      <c r="D51" s="16"/>
      <c r="E51" s="16"/>
    </row>
    <row r="52" spans="1:5" ht="17.25" x14ac:dyDescent="0.3">
      <c r="A52" s="9" t="s">
        <v>101</v>
      </c>
      <c r="B52" s="9" t="s">
        <v>49</v>
      </c>
      <c r="C52" s="16"/>
      <c r="D52" s="16"/>
      <c r="E52" s="16"/>
    </row>
    <row r="53" spans="1:5" ht="17.25" x14ac:dyDescent="0.3">
      <c r="A53" s="9" t="s">
        <v>102</v>
      </c>
      <c r="B53" s="9" t="s">
        <v>50</v>
      </c>
      <c r="C53" s="16"/>
      <c r="D53" s="16"/>
      <c r="E53" s="16"/>
    </row>
    <row r="54" spans="1:5" ht="17.25" x14ac:dyDescent="0.3">
      <c r="A54" s="9" t="s">
        <v>103</v>
      </c>
      <c r="B54" s="9" t="s">
        <v>51</v>
      </c>
      <c r="C54" s="16"/>
      <c r="D54" s="16"/>
      <c r="E54" s="16"/>
    </row>
    <row r="55" spans="1:5" ht="17.25" x14ac:dyDescent="0.3">
      <c r="A55" s="9" t="s">
        <v>104</v>
      </c>
      <c r="B55" s="9" t="s">
        <v>52</v>
      </c>
      <c r="C55" s="16"/>
      <c r="D55" s="16"/>
      <c r="E55" s="16"/>
    </row>
    <row r="56" spans="1:5" x14ac:dyDescent="0.25">
      <c r="C56" s="17"/>
      <c r="D56" s="18"/>
    </row>
  </sheetData>
  <mergeCells count="5">
    <mergeCell ref="A1:AH1"/>
    <mergeCell ref="H2:K2"/>
    <mergeCell ref="L2:M2"/>
    <mergeCell ref="N2:Q2"/>
    <mergeCell ref="AF2:AH2"/>
  </mergeCells>
  <conditionalFormatting sqref="D6:E55">
    <cfRule type="expression" dxfId="4" priority="2">
      <formula>D$5="Sun"</formula>
    </cfRule>
  </conditionalFormatting>
  <conditionalFormatting sqref="C6:E1048576">
    <cfRule type="notContainsBlanks" dxfId="3" priority="1">
      <formula>LEN(TRIM(C6))&gt;0</formula>
    </cfRule>
  </conditionalFormatting>
  <dataValidations count="1">
    <dataValidation type="list" allowBlank="1" showInputMessage="1" showErrorMessage="1" sqref="B2" xr:uid="{24FA29BE-7B91-4296-BFDE-08D5767FAD8A}">
      <formula1>"Jan, Feb, Mar, Apr, May, Jun, Jul, Aug, Sep, Oct, Nov, Dec"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HOME</vt:lpstr>
      <vt:lpstr>Attendance</vt:lpstr>
      <vt:lpstr>Check in,out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Yadav</dc:creator>
  <cp:lastModifiedBy>Ram Pravesh Yadav</cp:lastModifiedBy>
  <dcterms:created xsi:type="dcterms:W3CDTF">2025-06-29T14:13:47Z</dcterms:created>
  <dcterms:modified xsi:type="dcterms:W3CDTF">2025-08-15T12:57:11Z</dcterms:modified>
</cp:coreProperties>
</file>